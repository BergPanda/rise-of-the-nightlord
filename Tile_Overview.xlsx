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_Git\Boardgames\Elden Ring\"/>
    </mc:Choice>
  </mc:AlternateContent>
  <xr:revisionPtr revIDLastSave="0" documentId="13_ncr:1_{2FEA11EC-7A68-4AEE-923B-E8792AA4EE8A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3" i="1"/>
  <c r="J14" i="1"/>
  <c r="J15" i="1"/>
  <c r="J17" i="1"/>
  <c r="J16" i="1"/>
  <c r="J22" i="1"/>
  <c r="J23" i="1"/>
  <c r="J25" i="1"/>
  <c r="J24" i="1"/>
  <c r="K24" i="1" s="1"/>
  <c r="J19" i="1"/>
  <c r="K19" i="1" s="1"/>
  <c r="J20" i="1"/>
  <c r="K20" i="1" s="1"/>
  <c r="J18" i="1"/>
  <c r="K18" i="1" s="1"/>
  <c r="J26" i="1"/>
  <c r="K26" i="1" s="1"/>
  <c r="J21" i="1"/>
  <c r="K21" i="1" s="1"/>
  <c r="J8" i="1"/>
  <c r="J7" i="1"/>
  <c r="J9" i="1"/>
  <c r="J10" i="1"/>
  <c r="J6" i="1"/>
  <c r="J12" i="1"/>
  <c r="G11" i="1"/>
  <c r="G13" i="1"/>
  <c r="G14" i="1"/>
  <c r="G15" i="1"/>
  <c r="G17" i="1"/>
  <c r="G16" i="1"/>
  <c r="G22" i="1"/>
  <c r="G23" i="1"/>
  <c r="G25" i="1"/>
  <c r="G24" i="1"/>
  <c r="G18" i="1"/>
  <c r="G26" i="1"/>
  <c r="G21" i="1"/>
  <c r="G8" i="1"/>
  <c r="G7" i="1"/>
  <c r="G9" i="1"/>
  <c r="G10" i="1"/>
  <c r="G6" i="1"/>
  <c r="I11" i="1"/>
  <c r="I13" i="1"/>
  <c r="I14" i="1"/>
  <c r="I15" i="1"/>
  <c r="I17" i="1"/>
  <c r="I16" i="1"/>
  <c r="I25" i="1"/>
  <c r="I24" i="1"/>
  <c r="I19" i="1"/>
  <c r="I20" i="1"/>
  <c r="I18" i="1"/>
  <c r="I26" i="1"/>
  <c r="I21" i="1"/>
  <c r="I8" i="1"/>
  <c r="I7" i="1"/>
  <c r="I9" i="1"/>
  <c r="I10" i="1"/>
  <c r="I6" i="1"/>
  <c r="I12" i="1"/>
  <c r="G12" i="1"/>
  <c r="H4" i="1"/>
  <c r="I22" i="1" s="1"/>
  <c r="F4" i="1"/>
  <c r="G19" i="1" s="1"/>
  <c r="D4" i="1"/>
  <c r="E19" i="1" s="1"/>
  <c r="B4" i="1"/>
  <c r="C16" i="1" s="1"/>
  <c r="K15" i="1" l="1"/>
  <c r="K14" i="1"/>
  <c r="K23" i="1"/>
  <c r="K16" i="1"/>
  <c r="E21" i="1"/>
  <c r="K6" i="1"/>
  <c r="K9" i="1"/>
  <c r="K13" i="1"/>
  <c r="K25" i="1"/>
  <c r="K22" i="1"/>
  <c r="K12" i="1"/>
  <c r="E26" i="1"/>
  <c r="E18" i="1"/>
  <c r="K10" i="1"/>
  <c r="I23" i="1"/>
  <c r="G20" i="1"/>
  <c r="K7" i="1"/>
  <c r="K11" i="1"/>
  <c r="E6" i="1"/>
  <c r="E10" i="1"/>
  <c r="K17" i="1"/>
  <c r="E20" i="1"/>
  <c r="K8" i="1"/>
  <c r="E24" i="1"/>
  <c r="E25" i="1"/>
  <c r="E23" i="1"/>
  <c r="E22" i="1"/>
  <c r="E16" i="1"/>
  <c r="E12" i="1"/>
  <c r="E17" i="1"/>
  <c r="E15" i="1"/>
  <c r="E14" i="1"/>
  <c r="E13" i="1"/>
  <c r="E11" i="1"/>
  <c r="E9" i="1"/>
  <c r="E7" i="1"/>
  <c r="E8" i="1"/>
  <c r="C6" i="1"/>
  <c r="C10" i="1"/>
  <c r="C9" i="1"/>
  <c r="C7" i="1"/>
  <c r="C8" i="1"/>
  <c r="C23" i="1"/>
  <c r="C22" i="1"/>
  <c r="C17" i="1"/>
  <c r="C12" i="1"/>
  <c r="C19" i="1"/>
  <c r="C14" i="1"/>
  <c r="C26" i="1"/>
  <c r="C20" i="1"/>
  <c r="C24" i="1"/>
  <c r="C25" i="1"/>
  <c r="C15" i="1"/>
  <c r="C11" i="1"/>
  <c r="C18" i="1"/>
  <c r="C21" i="1"/>
  <c r="C13" i="1"/>
</calcChain>
</file>

<file path=xl/sharedStrings.xml><?xml version="1.0" encoding="utf-8"?>
<sst xmlns="http://schemas.openxmlformats.org/spreadsheetml/2006/main" count="28" uniqueCount="28">
  <si>
    <t>Number of Tiles</t>
  </si>
  <si>
    <t>Starting Tiles</t>
  </si>
  <si>
    <t>Active Stack</t>
  </si>
  <si>
    <t>Sites of Grace</t>
  </si>
  <si>
    <t>Stakes of Marika</t>
  </si>
  <si>
    <t>Effigies of the Martyr</t>
  </si>
  <si>
    <t>Finger Reader Crones</t>
  </si>
  <si>
    <t>Spirit Springs</t>
  </si>
  <si>
    <t>Spirit Candles</t>
  </si>
  <si>
    <t>Enemies</t>
  </si>
  <si>
    <t>Merchants</t>
  </si>
  <si>
    <t>Guiding Statues</t>
  </si>
  <si>
    <t>Telescopes</t>
  </si>
  <si>
    <t>Dungeons</t>
  </si>
  <si>
    <t>Churches</t>
  </si>
  <si>
    <t>Rebirth Monuments</t>
  </si>
  <si>
    <t>Stars</t>
  </si>
  <si>
    <t>NPCs</t>
  </si>
  <si>
    <t>Maps</t>
  </si>
  <si>
    <t>Hardship</t>
  </si>
  <si>
    <t>Realm of the grafted King</t>
  </si>
  <si>
    <t>Weeping Peninsula</t>
  </si>
  <si>
    <t>Stormveil Castle</t>
  </si>
  <si>
    <t>Limgrave Depths</t>
  </si>
  <si>
    <t>Flora Material</t>
  </si>
  <si>
    <t>Corpse Material</t>
  </si>
  <si>
    <t>Ruins Material</t>
  </si>
  <si>
    <t>Beast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</si>
</sst>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1" fillId="2" borderId="0" xfId="1"/>
    <xf numFmtId="10" fontId="1" fillId="2" borderId="0" xfId="1" applyNumberFormat="1"/>
  </cellXfs>
  <cellStyles count="2">
    <cellStyle name="Neutral" xfId="1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topLeftCell="A8" zoomScale="160" zoomScaleNormal="160" workbookViewId="0">
      <selection activeCell="A8" sqref="A8"/>
    </sheetView>
  </sheetViews>
  <sheetFormatPr baseColWidth="10" defaultColWidth="9.140625" defaultRowHeight="15" x14ac:dyDescent="0.25"/>
  <cols>
    <col min="1" max="1" width="20" bestFit="1" customWidth="1"/>
    <col min="2" max="2" width="11.28515625" customWidth="1"/>
    <col min="3" max="3" width="10.42578125" customWidth="1"/>
    <col min="4" max="5" width="10" bestFit="1" customWidth="1"/>
    <col min="6" max="10" width="9.140625" customWidth="1"/>
    <col min="11" max="11" width="9.140625" style="1" customWidth="1"/>
    <col min="12" max="14" width="9.140625" customWidth="1"/>
  </cols>
  <sheetData>
    <row r="1" spans="1:11" x14ac:dyDescent="0.25">
      <c r="B1" s="2" t="s">
        <v>20</v>
      </c>
      <c r="C1" s="2"/>
      <c r="D1" s="2" t="s">
        <v>21</v>
      </c>
      <c r="E1" s="2"/>
      <c r="F1" s="2" t="s">
        <v>22</v>
      </c>
      <c r="G1" s="2"/>
      <c r="H1" s="2" t="s">
        <v>23</v>
      </c>
      <c r="I1" s="2"/>
    </row>
    <row r="2" spans="1:11" x14ac:dyDescent="0.25">
      <c r="A2" t="s">
        <v>0</v>
      </c>
      <c r="B2">
        <v>61</v>
      </c>
      <c r="D2">
        <v>45</v>
      </c>
      <c r="F2">
        <v>44</v>
      </c>
      <c r="H2">
        <v>28</v>
      </c>
    </row>
    <row r="3" spans="1:11" x14ac:dyDescent="0.25">
      <c r="A3" t="s">
        <v>1</v>
      </c>
      <c r="B3">
        <v>6</v>
      </c>
      <c r="D3">
        <v>3</v>
      </c>
      <c r="F3">
        <v>3</v>
      </c>
      <c r="H3">
        <v>0</v>
      </c>
    </row>
    <row r="4" spans="1:11" x14ac:dyDescent="0.25">
      <c r="A4" t="s">
        <v>2</v>
      </c>
      <c r="B4">
        <f>B2-B3</f>
        <v>55</v>
      </c>
      <c r="D4">
        <f>D2-D3</f>
        <v>42</v>
      </c>
      <c r="F4">
        <f>F2-F3</f>
        <v>41</v>
      </c>
      <c r="H4">
        <f>H2-H3</f>
        <v>28</v>
      </c>
    </row>
    <row r="6" spans="1:11" x14ac:dyDescent="0.25">
      <c r="A6" t="s">
        <v>19</v>
      </c>
      <c r="B6">
        <v>19</v>
      </c>
      <c r="C6" s="1">
        <f>B6/$B$4</f>
        <v>0.34545454545454546</v>
      </c>
      <c r="D6">
        <v>18</v>
      </c>
      <c r="E6" s="1">
        <f>D6/$D$4</f>
        <v>0.42857142857142855</v>
      </c>
      <c r="F6">
        <v>18</v>
      </c>
      <c r="G6" s="1">
        <f>F6/$F$4</f>
        <v>0.43902439024390244</v>
      </c>
      <c r="H6">
        <v>9</v>
      </c>
      <c r="I6" s="1">
        <f>H6/$H$4</f>
        <v>0.32142857142857145</v>
      </c>
      <c r="J6">
        <f>B6+D6+F6+H6</f>
        <v>64</v>
      </c>
      <c r="K6" s="1">
        <f>J6/($B$4+$D$4+$F$4+$H$4)</f>
        <v>0.38554216867469882</v>
      </c>
    </row>
    <row r="7" spans="1:11" x14ac:dyDescent="0.25">
      <c r="A7" t="s">
        <v>24</v>
      </c>
      <c r="B7">
        <v>8</v>
      </c>
      <c r="C7" s="1">
        <f>B7/$B$4</f>
        <v>0.14545454545454545</v>
      </c>
      <c r="D7">
        <v>11</v>
      </c>
      <c r="E7" s="1">
        <f>D7/$D$4</f>
        <v>0.26190476190476192</v>
      </c>
      <c r="F7">
        <v>7</v>
      </c>
      <c r="G7" s="1">
        <f>F7/$F$4</f>
        <v>0.17073170731707318</v>
      </c>
      <c r="H7">
        <v>6</v>
      </c>
      <c r="I7" s="1">
        <f>H7/$H$4</f>
        <v>0.21428571428571427</v>
      </c>
      <c r="J7">
        <f>B7+D7+F7+H7</f>
        <v>32</v>
      </c>
      <c r="K7" s="1">
        <f>J7/($B$4+$D$4+$F$4+$H$4)</f>
        <v>0.19277108433734941</v>
      </c>
    </row>
    <row r="8" spans="1:11" x14ac:dyDescent="0.25">
      <c r="A8" t="s">
        <v>27</v>
      </c>
      <c r="B8">
        <v>10</v>
      </c>
      <c r="C8" s="1">
        <f>B8/$B$4</f>
        <v>0.18181818181818182</v>
      </c>
      <c r="D8">
        <v>6</v>
      </c>
      <c r="E8" s="1">
        <f>D8/$D$4</f>
        <v>0.14285714285714285</v>
      </c>
      <c r="F8">
        <v>5</v>
      </c>
      <c r="G8" s="1">
        <f>F8/$F$4</f>
        <v>0.12195121951219512</v>
      </c>
      <c r="H8">
        <v>6</v>
      </c>
      <c r="I8" s="1">
        <f>H8/$H$4</f>
        <v>0.21428571428571427</v>
      </c>
      <c r="J8">
        <f>B8+D8+F8+H8</f>
        <v>27</v>
      </c>
      <c r="K8" s="1">
        <f>J8/($B$4+$D$4+$F$4+$H$4)</f>
        <v>0.16265060240963855</v>
      </c>
    </row>
    <row r="9" spans="1:11" x14ac:dyDescent="0.25">
      <c r="A9" t="s">
        <v>25</v>
      </c>
      <c r="B9">
        <v>9</v>
      </c>
      <c r="C9" s="1">
        <f>B9/$B$4</f>
        <v>0.16363636363636364</v>
      </c>
      <c r="D9">
        <v>5</v>
      </c>
      <c r="E9" s="1">
        <f>D9/$D$4</f>
        <v>0.11904761904761904</v>
      </c>
      <c r="F9">
        <v>8</v>
      </c>
      <c r="G9" s="1">
        <f>F9/$F$4</f>
        <v>0.1951219512195122</v>
      </c>
      <c r="H9">
        <v>5</v>
      </c>
      <c r="I9" s="1">
        <f>H9/$H$4</f>
        <v>0.17857142857142858</v>
      </c>
      <c r="J9">
        <f>B9+D9+F9+H9</f>
        <v>27</v>
      </c>
      <c r="K9" s="1">
        <f>J9/($B$4+$D$4+$F$4+$H$4)</f>
        <v>0.16265060240963855</v>
      </c>
    </row>
    <row r="10" spans="1:11" x14ac:dyDescent="0.25">
      <c r="A10" t="s">
        <v>26</v>
      </c>
      <c r="B10">
        <v>9</v>
      </c>
      <c r="C10" s="1">
        <f>B10/$B$4</f>
        <v>0.16363636363636364</v>
      </c>
      <c r="D10">
        <v>7</v>
      </c>
      <c r="E10" s="1">
        <f>D10/$D$4</f>
        <v>0.16666666666666666</v>
      </c>
      <c r="F10">
        <v>5</v>
      </c>
      <c r="G10" s="1">
        <f>F10/$F$4</f>
        <v>0.12195121951219512</v>
      </c>
      <c r="H10">
        <v>5</v>
      </c>
      <c r="I10" s="1">
        <f>H10/$H$4</f>
        <v>0.17857142857142858</v>
      </c>
      <c r="J10">
        <f>B10+D10+F10+H10</f>
        <v>26</v>
      </c>
      <c r="K10" s="1">
        <f>J10/($B$4+$D$4+$F$4+$H$4)</f>
        <v>0.15662650602409639</v>
      </c>
    </row>
    <row r="11" spans="1:11" x14ac:dyDescent="0.25">
      <c r="A11" t="s">
        <v>7</v>
      </c>
      <c r="B11">
        <v>6</v>
      </c>
      <c r="C11" s="1">
        <f>B11/$B$4</f>
        <v>0.10909090909090909</v>
      </c>
      <c r="D11">
        <v>6</v>
      </c>
      <c r="E11" s="1">
        <f>D11/$D$4</f>
        <v>0.14285714285714285</v>
      </c>
      <c r="F11">
        <v>5</v>
      </c>
      <c r="G11" s="1">
        <f>F11/$F$4</f>
        <v>0.12195121951219512</v>
      </c>
      <c r="H11">
        <v>3</v>
      </c>
      <c r="I11" s="1">
        <f>H11/$H$4</f>
        <v>0.10714285714285714</v>
      </c>
      <c r="J11">
        <f>B11+D11+F11+H11</f>
        <v>20</v>
      </c>
      <c r="K11" s="1">
        <f>J11/($B$4+$D$4+$F$4+$H$4)</f>
        <v>0.12048192771084337</v>
      </c>
    </row>
    <row r="12" spans="1:11" x14ac:dyDescent="0.25">
      <c r="A12" t="s">
        <v>3</v>
      </c>
      <c r="B12">
        <v>7</v>
      </c>
      <c r="C12" s="1">
        <f>B12/$B$4</f>
        <v>0.12727272727272726</v>
      </c>
      <c r="D12">
        <v>4</v>
      </c>
      <c r="E12" s="1">
        <f>D12/$D$4</f>
        <v>9.5238095238095233E-2</v>
      </c>
      <c r="F12">
        <v>3</v>
      </c>
      <c r="G12" s="1">
        <f>F12/$F$4</f>
        <v>7.3170731707317069E-2</v>
      </c>
      <c r="H12">
        <v>3</v>
      </c>
      <c r="I12" s="1">
        <f>H12/$H$4</f>
        <v>0.10714285714285714</v>
      </c>
      <c r="J12">
        <f>B12+D12+F12+H12</f>
        <v>17</v>
      </c>
      <c r="K12" s="1">
        <f>J12/($B$4+$D$4+$F$4+$H$4)</f>
        <v>0.10240963855421686</v>
      </c>
    </row>
    <row r="13" spans="1:11" x14ac:dyDescent="0.25">
      <c r="A13" t="s">
        <v>5</v>
      </c>
      <c r="B13">
        <v>6</v>
      </c>
      <c r="C13" s="1">
        <f>B13/$B$4</f>
        <v>0.10909090909090909</v>
      </c>
      <c r="D13">
        <v>4</v>
      </c>
      <c r="E13" s="1">
        <f>D13/$D$4</f>
        <v>9.5238095238095233E-2</v>
      </c>
      <c r="F13">
        <v>4</v>
      </c>
      <c r="G13" s="1">
        <f>F13/$F$4</f>
        <v>9.7560975609756101E-2</v>
      </c>
      <c r="H13">
        <v>3</v>
      </c>
      <c r="I13" s="1">
        <f>H13/$H$4</f>
        <v>0.10714285714285714</v>
      </c>
      <c r="J13">
        <f>B13+D13+F13+H13</f>
        <v>17</v>
      </c>
      <c r="K13" s="1">
        <f>J13/($B$4+$D$4+$F$4+$H$4)</f>
        <v>0.10240963855421686</v>
      </c>
    </row>
    <row r="14" spans="1:11" x14ac:dyDescent="0.25">
      <c r="A14" t="s">
        <v>9</v>
      </c>
      <c r="B14">
        <v>6</v>
      </c>
      <c r="C14" s="1">
        <f>B14/$B$4</f>
        <v>0.10909090909090909</v>
      </c>
      <c r="D14">
        <v>5</v>
      </c>
      <c r="E14" s="1">
        <f>D14/$D$4</f>
        <v>0.11904761904761904</v>
      </c>
      <c r="F14">
        <v>3</v>
      </c>
      <c r="G14" s="1">
        <f>F14/$F$4</f>
        <v>7.3170731707317069E-2</v>
      </c>
      <c r="H14">
        <v>3</v>
      </c>
      <c r="I14" s="1">
        <f>H14/$H$4</f>
        <v>0.10714285714285714</v>
      </c>
      <c r="J14">
        <f>B14+D14+F14+H14</f>
        <v>17</v>
      </c>
      <c r="K14" s="1">
        <f>J14/($B$4+$D$4+$F$4+$H$4)</f>
        <v>0.10240963855421686</v>
      </c>
    </row>
    <row r="15" spans="1:11" x14ac:dyDescent="0.25">
      <c r="A15" t="s">
        <v>8</v>
      </c>
      <c r="B15">
        <v>5</v>
      </c>
      <c r="C15" s="1">
        <f>B15/$B$4</f>
        <v>9.0909090909090912E-2</v>
      </c>
      <c r="D15">
        <v>4</v>
      </c>
      <c r="E15" s="1">
        <f>D15/$D$4</f>
        <v>9.5238095238095233E-2</v>
      </c>
      <c r="F15">
        <v>3</v>
      </c>
      <c r="G15" s="1">
        <f>F15/$F$4</f>
        <v>7.3170731707317069E-2</v>
      </c>
      <c r="H15">
        <v>3</v>
      </c>
      <c r="I15" s="1">
        <f>H15/$H$4</f>
        <v>0.10714285714285714</v>
      </c>
      <c r="J15">
        <f>B15+D15+F15+H15</f>
        <v>15</v>
      </c>
      <c r="K15" s="1">
        <f>J15/($B$4+$D$4+$F$4+$H$4)</f>
        <v>9.036144578313253E-2</v>
      </c>
    </row>
    <row r="16" spans="1:11" x14ac:dyDescent="0.25">
      <c r="A16" t="s">
        <v>4</v>
      </c>
      <c r="B16">
        <v>3</v>
      </c>
      <c r="C16" s="1">
        <f>B16/$B$4</f>
        <v>5.4545454545454543E-2</v>
      </c>
      <c r="D16">
        <v>4</v>
      </c>
      <c r="E16" s="1">
        <f>D16/$D$4</f>
        <v>9.5238095238095233E-2</v>
      </c>
      <c r="F16">
        <v>5</v>
      </c>
      <c r="G16" s="1">
        <f>F16/$F$4</f>
        <v>0.12195121951219512</v>
      </c>
      <c r="H16">
        <v>3</v>
      </c>
      <c r="I16" s="1">
        <f>H16/$H$4</f>
        <v>0.10714285714285714</v>
      </c>
      <c r="J16">
        <f>B16+D16+F16+H16</f>
        <v>15</v>
      </c>
      <c r="K16" s="1">
        <f>J16/($B$4+$D$4+$F$4+$H$4)</f>
        <v>9.036144578313253E-2</v>
      </c>
    </row>
    <row r="17" spans="1:11" x14ac:dyDescent="0.25">
      <c r="A17" t="s">
        <v>10</v>
      </c>
      <c r="B17">
        <v>3</v>
      </c>
      <c r="C17" s="1">
        <f>B17/$B$4</f>
        <v>5.4545454545454543E-2</v>
      </c>
      <c r="D17">
        <v>2</v>
      </c>
      <c r="E17" s="1">
        <f>D17/$D$4</f>
        <v>4.7619047619047616E-2</v>
      </c>
      <c r="F17">
        <v>1</v>
      </c>
      <c r="G17" s="1">
        <f>F17/$F$4</f>
        <v>2.4390243902439025E-2</v>
      </c>
      <c r="H17">
        <v>1</v>
      </c>
      <c r="I17" s="1">
        <f>H17/$H$4</f>
        <v>3.5714285714285712E-2</v>
      </c>
      <c r="J17">
        <f>B17+D17+F17+H17</f>
        <v>7</v>
      </c>
      <c r="K17" s="1">
        <f>J17/($B$4+$D$4+$F$4+$H$4)</f>
        <v>4.2168674698795178E-2</v>
      </c>
    </row>
    <row r="18" spans="1:11" x14ac:dyDescent="0.25">
      <c r="A18" t="s">
        <v>17</v>
      </c>
      <c r="B18">
        <v>2</v>
      </c>
      <c r="C18" s="1">
        <f>B18/$B$4</f>
        <v>3.6363636363636362E-2</v>
      </c>
      <c r="D18">
        <v>1</v>
      </c>
      <c r="E18" s="1">
        <f>D18/$D$4</f>
        <v>2.3809523809523808E-2</v>
      </c>
      <c r="F18">
        <v>1</v>
      </c>
      <c r="G18" s="1">
        <f>F18/$F$4</f>
        <v>2.4390243902439025E-2</v>
      </c>
      <c r="H18">
        <v>2</v>
      </c>
      <c r="I18" s="1">
        <f>H18/$H$4</f>
        <v>7.1428571428571425E-2</v>
      </c>
      <c r="J18">
        <f>B18+D18+F18+H18</f>
        <v>6</v>
      </c>
      <c r="K18" s="1">
        <f>J18/($B$4+$D$4+$F$4+$H$4)</f>
        <v>3.614457831325301E-2</v>
      </c>
    </row>
    <row r="19" spans="1:11" x14ac:dyDescent="0.25">
      <c r="A19" t="s">
        <v>15</v>
      </c>
      <c r="B19">
        <v>2</v>
      </c>
      <c r="C19" s="1">
        <f>B19/$B$4</f>
        <v>3.6363636363636362E-2</v>
      </c>
      <c r="D19">
        <v>1</v>
      </c>
      <c r="E19" s="1">
        <f>D19/$D$4</f>
        <v>2.3809523809523808E-2</v>
      </c>
      <c r="F19">
        <v>1</v>
      </c>
      <c r="G19" s="1">
        <f>F19/$F$4</f>
        <v>2.4390243902439025E-2</v>
      </c>
      <c r="H19" s="3">
        <v>0</v>
      </c>
      <c r="I19" s="4">
        <f>H19/$H$4</f>
        <v>0</v>
      </c>
      <c r="J19">
        <f>B19+D19+F19+H19</f>
        <v>4</v>
      </c>
      <c r="K19" s="1">
        <f>J19/($B$4+$D$4+$F$4+$H$4)</f>
        <v>2.4096385542168676E-2</v>
      </c>
    </row>
    <row r="20" spans="1:11" x14ac:dyDescent="0.25">
      <c r="A20" t="s">
        <v>16</v>
      </c>
      <c r="B20">
        <v>2</v>
      </c>
      <c r="C20" s="1">
        <f>B20/$B$4</f>
        <v>3.6363636363636362E-2</v>
      </c>
      <c r="D20">
        <v>1</v>
      </c>
      <c r="E20" s="1">
        <f>D20/$D$4</f>
        <v>2.3809523809523808E-2</v>
      </c>
      <c r="F20">
        <v>1</v>
      </c>
      <c r="G20" s="1">
        <f>F20/$F$4</f>
        <v>2.4390243902439025E-2</v>
      </c>
      <c r="H20" s="3">
        <v>0</v>
      </c>
      <c r="I20" s="4">
        <f>H20/$H$4</f>
        <v>0</v>
      </c>
      <c r="J20">
        <f>B20+D20+F20+H20</f>
        <v>4</v>
      </c>
      <c r="K20" s="1">
        <f>J20/($B$4+$D$4+$F$4+$H$4)</f>
        <v>2.4096385542168676E-2</v>
      </c>
    </row>
    <row r="21" spans="1:11" x14ac:dyDescent="0.25">
      <c r="A21" t="s">
        <v>6</v>
      </c>
      <c r="B21">
        <v>1</v>
      </c>
      <c r="C21" s="1">
        <f>B21/$B$4</f>
        <v>1.8181818181818181E-2</v>
      </c>
      <c r="D21">
        <v>1</v>
      </c>
      <c r="E21" s="1">
        <f>D21/$D$4</f>
        <v>2.3809523809523808E-2</v>
      </c>
      <c r="F21">
        <v>1</v>
      </c>
      <c r="G21" s="1">
        <f>F21/$F$4</f>
        <v>2.4390243902439025E-2</v>
      </c>
      <c r="H21">
        <v>1</v>
      </c>
      <c r="I21" s="1">
        <f>H21/$H$4</f>
        <v>3.5714285714285712E-2</v>
      </c>
      <c r="J21">
        <f>B21+D21+F21+H21</f>
        <v>4</v>
      </c>
      <c r="K21" s="1">
        <f>J21/($B$4+$D$4+$F$4+$H$4)</f>
        <v>2.4096385542168676E-2</v>
      </c>
    </row>
    <row r="22" spans="1:11" x14ac:dyDescent="0.25">
      <c r="A22" t="s">
        <v>11</v>
      </c>
      <c r="B22">
        <v>2</v>
      </c>
      <c r="C22" s="1">
        <f>B22/$B$4</f>
        <v>3.6363636363636362E-2</v>
      </c>
      <c r="D22" s="3">
        <v>0</v>
      </c>
      <c r="E22" s="4">
        <f>D22/$D$4</f>
        <v>0</v>
      </c>
      <c r="F22" s="3">
        <v>0</v>
      </c>
      <c r="G22" s="4">
        <f>F22/$F$4</f>
        <v>0</v>
      </c>
      <c r="H22">
        <v>1</v>
      </c>
      <c r="I22" s="1">
        <f>H22/$H$4</f>
        <v>3.5714285714285712E-2</v>
      </c>
      <c r="J22">
        <f>B22+D22+F22+H22</f>
        <v>3</v>
      </c>
      <c r="K22" s="1">
        <f>J22/($B$4+$D$4+$F$4+$H$4)</f>
        <v>1.8072289156626505E-2</v>
      </c>
    </row>
    <row r="23" spans="1:11" x14ac:dyDescent="0.25">
      <c r="A23" t="s">
        <v>12</v>
      </c>
      <c r="B23">
        <v>2</v>
      </c>
      <c r="C23" s="1">
        <f>B23/$B$4</f>
        <v>3.6363636363636362E-2</v>
      </c>
      <c r="D23" s="3">
        <v>0</v>
      </c>
      <c r="E23" s="4">
        <f>D23/$D$4</f>
        <v>0</v>
      </c>
      <c r="F23" s="3">
        <v>0</v>
      </c>
      <c r="G23" s="4">
        <f>F23/$F$4</f>
        <v>0</v>
      </c>
      <c r="H23">
        <v>1</v>
      </c>
      <c r="I23" s="1">
        <f>H23/$H$4</f>
        <v>3.5714285714285712E-2</v>
      </c>
      <c r="J23">
        <f>B23+D23+F23+H23</f>
        <v>3</v>
      </c>
      <c r="K23" s="1">
        <f>J23/($B$4+$D$4+$F$4+$H$4)</f>
        <v>1.8072289156626505E-2</v>
      </c>
    </row>
    <row r="24" spans="1:11" x14ac:dyDescent="0.25">
      <c r="A24" t="s">
        <v>14</v>
      </c>
      <c r="B24">
        <v>2</v>
      </c>
      <c r="C24" s="1">
        <f>B24/$B$4</f>
        <v>3.6363636363636362E-2</v>
      </c>
      <c r="D24" s="3">
        <v>0</v>
      </c>
      <c r="E24" s="4">
        <f>D24/$D$4</f>
        <v>0</v>
      </c>
      <c r="F24" s="3">
        <v>0</v>
      </c>
      <c r="G24" s="4">
        <f>F24/$F$4</f>
        <v>0</v>
      </c>
      <c r="H24">
        <v>1</v>
      </c>
      <c r="I24" s="1">
        <f>H24/$H$4</f>
        <v>3.5714285714285712E-2</v>
      </c>
      <c r="J24">
        <f>B24+D24+F24+H24</f>
        <v>3</v>
      </c>
      <c r="K24" s="1">
        <f>J24/($B$4+$D$4+$F$4+$H$4)</f>
        <v>1.8072289156626505E-2</v>
      </c>
    </row>
    <row r="25" spans="1:11" x14ac:dyDescent="0.25">
      <c r="A25" t="s">
        <v>13</v>
      </c>
      <c r="B25">
        <v>2</v>
      </c>
      <c r="C25" s="1">
        <f>B25/$B$4</f>
        <v>3.6363636363636362E-2</v>
      </c>
      <c r="D25" s="3">
        <v>0</v>
      </c>
      <c r="E25" s="4">
        <f>D25/$D$4</f>
        <v>0</v>
      </c>
      <c r="F25" s="3">
        <v>0</v>
      </c>
      <c r="G25" s="4">
        <f>F25/$F$4</f>
        <v>0</v>
      </c>
      <c r="H25" s="3">
        <v>0</v>
      </c>
      <c r="I25" s="4">
        <f>H25/$H$4</f>
        <v>0</v>
      </c>
      <c r="J25">
        <f>B25+D25+F25+H25</f>
        <v>2</v>
      </c>
      <c r="K25" s="1">
        <f>J25/($B$4+$D$4+$F$4+$H$4)</f>
        <v>1.2048192771084338E-2</v>
      </c>
    </row>
    <row r="26" spans="1:11" x14ac:dyDescent="0.25">
      <c r="A26" t="s">
        <v>18</v>
      </c>
      <c r="B26">
        <v>2</v>
      </c>
      <c r="C26" s="1">
        <f>B26/$B$4</f>
        <v>3.6363636363636362E-2</v>
      </c>
      <c r="D26" s="3">
        <v>0</v>
      </c>
      <c r="E26" s="4">
        <f>D26/$D$4</f>
        <v>0</v>
      </c>
      <c r="F26" s="3">
        <v>0</v>
      </c>
      <c r="G26" s="4">
        <f>F26/$F$4</f>
        <v>0</v>
      </c>
      <c r="H26" s="3">
        <v>0</v>
      </c>
      <c r="I26" s="4">
        <f>H26/$H$4</f>
        <v>0</v>
      </c>
      <c r="J26">
        <f>B26+D26+F26+H26</f>
        <v>2</v>
      </c>
      <c r="K26" s="1">
        <f>J26/($B$4+$D$4+$F$4+$H$4)</f>
        <v>1.2048192771084338E-2</v>
      </c>
    </row>
  </sheetData>
  <sortState xmlns:xlrd2="http://schemas.microsoft.com/office/spreadsheetml/2017/richdata2" ref="A6:K28">
    <sortCondition descending="1" ref="J6:J28"/>
  </sortState>
  <mergeCells count="4">
    <mergeCell ref="B1:C1"/>
    <mergeCell ref="D1:E1"/>
    <mergeCell ref="F1:G1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Pansi</dc:creator>
  <cp:lastModifiedBy>Dominik Pansi</cp:lastModifiedBy>
  <dcterms:created xsi:type="dcterms:W3CDTF">2015-06-05T18:19:34Z</dcterms:created>
  <dcterms:modified xsi:type="dcterms:W3CDTF">2026-05-29T15:37:02Z</dcterms:modified>
</cp:coreProperties>
</file>